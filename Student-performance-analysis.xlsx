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xr:revisionPtr revIDLastSave="0" documentId="8_{1C5376D1-33CC-6B4C-B45D-76F8DE887D4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2" sheetId="3" r:id="rId1"/>
    <sheet name="Sheet1" sheetId="2" r:id="rId2"/>
  </sheets>
  <definedNames>
    <definedName name="_xlnm._FilterDatabase" localSheetId="1" hidden="1">Sheet1!$B$7:$O$14</definedName>
    <definedName name="_xlnm._FilterDatabase" localSheetId="0" hidden="1">Sheet2!$C$7:$D$22</definedName>
    <definedName name="Slicer_Gender">#N/A</definedName>
    <definedName name="Slicer_House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22" i="2"/>
  <c r="E21" i="2"/>
  <c r="E13" i="2"/>
  <c r="E20" i="2"/>
  <c r="E12" i="2"/>
  <c r="E9" i="2"/>
  <c r="E19" i="2"/>
</calcChain>
</file>

<file path=xl/sharedStrings.xml><?xml version="1.0" encoding="utf-8"?>
<sst xmlns="http://schemas.openxmlformats.org/spreadsheetml/2006/main" count="149" uniqueCount="91">
  <si>
    <t>First Name</t>
  </si>
  <si>
    <t>Total Marks</t>
  </si>
  <si>
    <t>Kanika</t>
  </si>
  <si>
    <t>Peeyush</t>
  </si>
  <si>
    <t>Ankush</t>
  </si>
  <si>
    <t>Ramveer</t>
  </si>
  <si>
    <t>Shubh</t>
  </si>
  <si>
    <t>Sujal</t>
  </si>
  <si>
    <t>Sanya</t>
  </si>
  <si>
    <t xml:space="preserve">Ansh </t>
  </si>
  <si>
    <t>Abhi</t>
  </si>
  <si>
    <t xml:space="preserve">Devita </t>
  </si>
  <si>
    <t>Ankita</t>
  </si>
  <si>
    <t>Harsh</t>
  </si>
  <si>
    <t>Tushar</t>
  </si>
  <si>
    <t xml:space="preserve">Shubham </t>
  </si>
  <si>
    <t>Ritik</t>
  </si>
  <si>
    <t xml:space="preserve">Delhi public School Data </t>
  </si>
  <si>
    <t>S.NO</t>
  </si>
  <si>
    <t>Last Nmae</t>
  </si>
  <si>
    <t>Full Name</t>
  </si>
  <si>
    <t>Gender</t>
  </si>
  <si>
    <t>Age</t>
  </si>
  <si>
    <t>House</t>
  </si>
  <si>
    <t>Unit Test-1</t>
  </si>
  <si>
    <t>Unit Test-2</t>
  </si>
  <si>
    <t>Grade</t>
  </si>
  <si>
    <t>contact</t>
  </si>
  <si>
    <t>Address</t>
  </si>
  <si>
    <t>Email</t>
  </si>
  <si>
    <t>Vats</t>
  </si>
  <si>
    <t>Ansh Vats</t>
  </si>
  <si>
    <t>M</t>
  </si>
  <si>
    <t>Akash</t>
  </si>
  <si>
    <t>B</t>
  </si>
  <si>
    <t>MDA</t>
  </si>
  <si>
    <t>Ansh2@gmail.com</t>
  </si>
  <si>
    <t>Uvais</t>
  </si>
  <si>
    <t>F</t>
  </si>
  <si>
    <t>Prithvi</t>
  </si>
  <si>
    <t>Harthla</t>
  </si>
  <si>
    <t>Sanya09@gmail.com</t>
  </si>
  <si>
    <t>Gupta</t>
  </si>
  <si>
    <t>Harsh Gupta</t>
  </si>
  <si>
    <t>C</t>
  </si>
  <si>
    <t>Buddhivihar</t>
  </si>
  <si>
    <t>Harsh775@gmail.com</t>
  </si>
  <si>
    <t>Lodhi</t>
  </si>
  <si>
    <t>Sujal Lodhi</t>
  </si>
  <si>
    <t>Agni</t>
  </si>
  <si>
    <t>Sfc</t>
  </si>
  <si>
    <t>Sujal03@gmail.com</t>
  </si>
  <si>
    <t>Vishnoi</t>
  </si>
  <si>
    <t>Milind Vihar</t>
  </si>
  <si>
    <t>Ankita668@gmail.com</t>
  </si>
  <si>
    <t>Kakkar</t>
  </si>
  <si>
    <t>Dp yadav</t>
  </si>
  <si>
    <t>Devu55@gmail.com</t>
  </si>
  <si>
    <t>Bhardwaj</t>
  </si>
  <si>
    <t>Shubh Bhardwaj</t>
  </si>
  <si>
    <t>Vajra</t>
  </si>
  <si>
    <t>LIC office</t>
  </si>
  <si>
    <t>Shubh03@gmail.com</t>
  </si>
  <si>
    <t>Singh</t>
  </si>
  <si>
    <t xml:space="preserve"> Ankush Singh</t>
  </si>
  <si>
    <t>A</t>
  </si>
  <si>
    <t>Holi chowk</t>
  </si>
  <si>
    <t>Ankush01@gmail.com</t>
  </si>
  <si>
    <t>Sahota</t>
  </si>
  <si>
    <t>Ritik Sahota</t>
  </si>
  <si>
    <t>Aryans</t>
  </si>
  <si>
    <t>ritik09@gmai.com</t>
  </si>
  <si>
    <t>Rathore</t>
  </si>
  <si>
    <t>Tushar Rathore</t>
  </si>
  <si>
    <t>Linepar</t>
  </si>
  <si>
    <t>Tush844@gmail.com</t>
  </si>
  <si>
    <t>Chaudhary</t>
  </si>
  <si>
    <t>Abhi Chaudhary</t>
  </si>
  <si>
    <t>Mansarovar</t>
  </si>
  <si>
    <t>Abhi77@gmail.com</t>
  </si>
  <si>
    <t>Sharma</t>
  </si>
  <si>
    <t>Prem nagar</t>
  </si>
  <si>
    <t>Kanika001@gmail.com</t>
  </si>
  <si>
    <t>Thakur</t>
  </si>
  <si>
    <t>Bhandula kothi</t>
  </si>
  <si>
    <t>Rathorepeeyush775@gmail.com</t>
  </si>
  <si>
    <t>Rathi</t>
  </si>
  <si>
    <t>Ashok vihar</t>
  </si>
  <si>
    <t>Rathi03@gmail.com</t>
  </si>
  <si>
    <t>Pakbara</t>
  </si>
  <si>
    <t>Rvs@56gmail.com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</si>
</sst>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0"/>
      <name val="Calibri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3" fillId="0" borderId="0" xfId="0" applyFont="1"/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6" xfId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9">
    <dxf>
      <alignment horizont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colors>
    <mruColors>
      <color rgb="FFE3FF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microsoft.com/office/2007/relationships/slicerCache" Target="slicerCaches/slicerCache1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microsoft.com/office/2007/relationships/slicerCache" Target="slicerCaches/slicerCache2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Performance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Sheet2!D7</c:f>
              <c:strCache>
                <c:ptCount val="1"/>
                <c:pt idx="0">
                  <c:v>Total Marks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5E-4EDC-9B4C-ACF03EED34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Sheet2!$C$8:$C$22</c:f>
              <c:strCache>
                <c:ptCount val="15"/>
                <c:pt idx="0">
                  <c:v>Kanika</c:v>
                </c:pt>
                <c:pt idx="1">
                  <c:v>Peeyush</c:v>
                </c:pt>
                <c:pt idx="2">
                  <c:v>Ankush</c:v>
                </c:pt>
                <c:pt idx="3">
                  <c:v>Ramveer</c:v>
                </c:pt>
                <c:pt idx="4">
                  <c:v>Shubh</c:v>
                </c:pt>
                <c:pt idx="5">
                  <c:v>Sujal</c:v>
                </c:pt>
                <c:pt idx="6">
                  <c:v>Sanya</c:v>
                </c:pt>
                <c:pt idx="7">
                  <c:v>Ansh </c:v>
                </c:pt>
                <c:pt idx="8">
                  <c:v>Abhi</c:v>
                </c:pt>
                <c:pt idx="9">
                  <c:v>Devita </c:v>
                </c:pt>
                <c:pt idx="10">
                  <c:v>Ankita</c:v>
                </c:pt>
                <c:pt idx="11">
                  <c:v>Harsh</c:v>
                </c:pt>
                <c:pt idx="12">
                  <c:v>Tushar</c:v>
                </c:pt>
                <c:pt idx="13">
                  <c:v>Shubham </c:v>
                </c:pt>
                <c:pt idx="14">
                  <c:v>Ritik</c:v>
                </c:pt>
              </c:strCache>
            </c:strRef>
          </c:cat>
          <c:val>
            <c:numRef>
              <c:f>Sheet2!$D$8:$D$22</c:f>
              <c:numCache>
                <c:formatCode>General</c:formatCode>
                <c:ptCount val="15"/>
                <c:pt idx="0">
                  <c:v>197</c:v>
                </c:pt>
                <c:pt idx="1">
                  <c:v>185</c:v>
                </c:pt>
                <c:pt idx="2">
                  <c:v>178</c:v>
                </c:pt>
                <c:pt idx="3">
                  <c:v>178</c:v>
                </c:pt>
                <c:pt idx="4">
                  <c:v>164</c:v>
                </c:pt>
                <c:pt idx="5">
                  <c:v>159</c:v>
                </c:pt>
                <c:pt idx="6">
                  <c:v>158</c:v>
                </c:pt>
                <c:pt idx="7">
                  <c:v>153</c:v>
                </c:pt>
                <c:pt idx="8">
                  <c:v>140</c:v>
                </c:pt>
                <c:pt idx="9">
                  <c:v>134</c:v>
                </c:pt>
                <c:pt idx="10">
                  <c:v>127</c:v>
                </c:pt>
                <c:pt idx="11">
                  <c:v>119</c:v>
                </c:pt>
                <c:pt idx="12">
                  <c:v>115</c:v>
                </c:pt>
                <c:pt idx="13">
                  <c:v>115</c:v>
                </c:pt>
                <c:pt idx="1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C2E86E2D-97A0-4F46-82F6-12DAF6D375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1779298823"/>
        <c:axId val="1779300871"/>
      </c:barChart>
      <c:catAx>
        <c:axId val="1779298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 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300871"/>
        <c:crosses val="autoZero"/>
        <c:auto val="1"/>
        <c:lblAlgn val="ctr"/>
        <c:lblOffset val="100"/>
        <c:noMultiLvlLbl val="0"/>
      </c:catAx>
      <c:valAx>
        <c:axId val="1779300871"/>
        <c:scaling>
          <c:orientation val="minMax"/>
          <c:max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98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0</xdr:row>
      <xdr:rowOff>152400</xdr:rowOff>
    </xdr:from>
    <xdr:to>
      <xdr:col>19</xdr:col>
      <xdr:colOff>228600</xdr:colOff>
      <xdr:row>31</xdr:row>
      <xdr:rowOff>0</xdr:rowOff>
    </xdr:to>
    <xdr:graphicFrame macro="">
      <xdr:nvGraphicFramePr>
        <xdr:cNvPr id="2" name="Chart 1" descr="Chart type: Clustered Column. 'Total Marks'&#10;&#10;Description automatically generated">
          <a:extLst>
            <a:ext uri="{FF2B5EF4-FFF2-40B4-BE49-F238E27FC236}">
              <a16:creationId xmlns:a16="http://schemas.microsoft.com/office/drawing/2014/main" id="{F48AF147-6EEC-E7C0-B8ED-3A9745C43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981075</xdr:colOff>
      <xdr:row>3</xdr:row>
      <xdr:rowOff>28575</xdr:rowOff>
    </xdr:from>
    <xdr:to>
      <xdr:col>11</xdr:col>
      <xdr:colOff>142875</xdr:colOff>
      <xdr:row>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B6E69E-8347-759A-A8F6-6518AAEA32B5}"/>
            </a:ext>
            <a:ext uri="{147F2762-F138-4A5C-976F-8EAC2B608ADB}">
              <a16:predDERef xmlns:a16="http://schemas.microsoft.com/office/drawing/2014/main" pred="{BD6F28C7-953E-31C6-99D4-B4128C397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300" y="600075"/>
          <a:ext cx="304800" cy="352425"/>
        </a:xfrm>
        <a:prstGeom prst="rect">
          <a:avLst/>
        </a:prstGeom>
      </xdr:spPr>
    </xdr:pic>
    <xdr:clientData/>
  </xdr:twoCellAnchor>
  <xdr:twoCellAnchor editAs="absolute">
    <xdr:from>
      <xdr:col>15</xdr:col>
      <xdr:colOff>95250</xdr:colOff>
      <xdr:row>2</xdr:row>
      <xdr:rowOff>142875</xdr:rowOff>
    </xdr:from>
    <xdr:to>
      <xdr:col>18</xdr:col>
      <xdr:colOff>95250</xdr:colOff>
      <xdr:row>10</xdr:row>
      <xdr:rowOff>28575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5" name="Gender 1">
              <a:extLst>
                <a:ext uri="{FF2B5EF4-FFF2-40B4-BE49-F238E27FC236}">
                  <a16:creationId xmlns:a16="http://schemas.microsoft.com/office/drawing/2014/main" id="{20D07561-CA94-90C8-06BA-C6AA8C5075B5}"/>
                </a:ext>
                <a:ext uri="{147F2762-F138-4A5C-976F-8EAC2B608ADB}">
                  <a16:predDERef xmlns:a16="http://schemas.microsoft.com/office/drawing/2014/main" pred="{1CB6E69E-8347-759A-A8F6-6518AAEA32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44775" y="514350"/>
              <a:ext cx="1828800" cy="1457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15</xdr:col>
      <xdr:colOff>95250</xdr:colOff>
      <xdr:row>10</xdr:row>
      <xdr:rowOff>95250</xdr:rowOff>
    </xdr:from>
    <xdr:to>
      <xdr:col>18</xdr:col>
      <xdr:colOff>95250</xdr:colOff>
      <xdr:row>22</xdr:row>
      <xdr:rowOff>104775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6" name="House 1">
              <a:extLst>
                <a:ext uri="{FF2B5EF4-FFF2-40B4-BE49-F238E27FC236}">
                  <a16:creationId xmlns:a16="http://schemas.microsoft.com/office/drawing/2014/main" id="{662F51BB-821E-26E8-1CB8-046B7371685B}"/>
                </a:ext>
                <a:ext uri="{147F2762-F138-4A5C-976F-8EAC2B608ADB}">
                  <a16:predDERef xmlns:a16="http://schemas.microsoft.com/office/drawing/2014/main" pred="{20D07561-CA94-90C8-06BA-C6AA8C5075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us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82875" y="2028825"/>
              <a:ext cx="1828800" cy="2295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20BD04C0-C651-4C5F-8B1E-0944E66F7478}" sourceName="Gender">
  <extLst>
    <x:ext xmlns:x15="http://schemas.microsoft.com/office/spreadsheetml/2010/11/main" uri="{2F2917AC-EB37-4324-AD4E-5DD8C200BD13}">
      <x15:tableSlicerCache tableId="2" column="8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House" xr10:uid="{42E2DF63-43E5-4272-B500-70C62883289B}" sourceName="House">
  <extLst>
    <x:ext xmlns:x15="http://schemas.microsoft.com/office/spreadsheetml/2010/11/main" uri="{2F2917AC-EB37-4324-AD4E-5DD8C200BD13}">
      <x15:tableSlicerCache tableId="2" column="1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1" xr10:uid="{FC4BF6C4-866C-49D8-AE15-F10FEF626661}" cache="Slicer_Gender" caption="Gender" rowHeight="228600"/>
  <slicer name="House 1" xr10:uid="{9B3000D3-A776-4144-AF04-C0322B0327C2}" cache="Slicer_House" caption="Hous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053BAB-5E4C-489F-BC91-6D849EB6980E}" name="Table2" displayName="Table2" ref="B7:O22" totalsRowShown="0" headerRowDxfId="18" dataDxfId="16" headerRowBorderDxfId="17" tableBorderDxfId="15" totalsRowBorderDxfId="14">
  <autoFilter ref="B7:O22" xr:uid="{6E053BAB-5E4C-489F-BC91-6D849EB6980E}"/>
  <tableColumns count="14">
    <tableColumn id="1" xr3:uid="{37E6C365-1C12-40AA-B285-B0AE793AA21B}" name="S.NO" dataDxfId="13"/>
    <tableColumn id="2" xr3:uid="{A0E7601E-0F1C-426C-9C09-E9441F9A1CD8}" name="First Name" dataDxfId="12"/>
    <tableColumn id="3" xr3:uid="{2CE878EA-2521-4CF6-AAFC-C528E3F4AF36}" name="Last Nmae" dataDxfId="11"/>
    <tableColumn id="4" xr3:uid="{32BEB845-F1BB-49AA-B111-FC6AC3B30601}" name="Full Name" dataDxfId="10">
      <calculatedColumnFormula>CONCATENATE(C8,D8)</calculatedColumnFormula>
    </tableColumn>
    <tableColumn id="8" xr3:uid="{C88C95AB-4795-4021-94A7-A37A3C484F2C}" name="Gender" dataDxfId="9"/>
    <tableColumn id="10" xr3:uid="{1281DEA0-0A1E-48B2-B911-A756C97C05FD}" name="Age" dataDxfId="8"/>
    <tableColumn id="11" xr3:uid="{A02252EB-703D-4138-98AC-2DBD474A2AB6}" name="House" dataDxfId="7"/>
    <tableColumn id="13" xr3:uid="{A0D07AE4-1D1B-425C-A959-6C0896609DD8}" name="Unit Test-1" dataDxfId="6"/>
    <tableColumn id="12" xr3:uid="{84AA8C3D-948B-417A-91AB-28DE3400F59F}" name="Unit Test-2" dataDxfId="5"/>
    <tableColumn id="14" xr3:uid="{FD5A2DA2-5A16-460F-B4DB-EC1382F7AB7A}" name="Total Marks" dataDxfId="4">
      <calculatedColumnFormula>SUM(Table2[[#This Row],[Unit Test-1]],Table2[[#This Row],[Unit Test-2]])</calculatedColumnFormula>
    </tableColumn>
    <tableColumn id="15" xr3:uid="{1BC7141A-9F1F-4188-89BA-82D24D72160C}" name="Grade" dataDxfId="3"/>
    <tableColumn id="5" xr3:uid="{22879669-4D35-4502-A295-BACFAC0EAEC5}" name="contact" dataDxfId="2"/>
    <tableColumn id="6" xr3:uid="{0886E95C-91D1-458C-8A9F-7D2F5EF35499}" name="Address" dataDxfId="1"/>
    <tableColumn id="7" xr3:uid="{9196F376-7F0A-4A45-9FA4-218AFC9E6AFB}" name="Email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bhi77@gmail.com" TargetMode="External" /><Relationship Id="rId13" Type="http://schemas.openxmlformats.org/officeDocument/2006/relationships/hyperlink" Target="mailto:Rathorepeeyush775@gmail.com" TargetMode="External" /><Relationship Id="rId18" Type="http://schemas.microsoft.com/office/2007/relationships/slicer" Target="../slicers/slicer1.xml" /><Relationship Id="rId3" Type="http://schemas.openxmlformats.org/officeDocument/2006/relationships/hyperlink" Target="mailto:Devu55@gmail.com" TargetMode="External" /><Relationship Id="rId7" Type="http://schemas.openxmlformats.org/officeDocument/2006/relationships/hyperlink" Target="mailto:Tush844@gmail.com" TargetMode="External" /><Relationship Id="rId12" Type="http://schemas.openxmlformats.org/officeDocument/2006/relationships/hyperlink" Target="mailto:Ankita668@gmail.com" TargetMode="External" /><Relationship Id="rId17" Type="http://schemas.openxmlformats.org/officeDocument/2006/relationships/table" Target="../tables/table1.xml" /><Relationship Id="rId2" Type="http://schemas.openxmlformats.org/officeDocument/2006/relationships/hyperlink" Target="mailto:Sujal03@gmail.com" TargetMode="External" /><Relationship Id="rId16" Type="http://schemas.openxmlformats.org/officeDocument/2006/relationships/drawing" Target="../drawings/drawing2.xml" /><Relationship Id="rId1" Type="http://schemas.openxmlformats.org/officeDocument/2006/relationships/hyperlink" Target="mailto:Ansh2@gmail.com" TargetMode="External" /><Relationship Id="rId6" Type="http://schemas.openxmlformats.org/officeDocument/2006/relationships/hyperlink" Target="mailto:ritik09@gmai.com" TargetMode="External" /><Relationship Id="rId11" Type="http://schemas.openxmlformats.org/officeDocument/2006/relationships/hyperlink" Target="mailto:Sanya09@gmail.com" TargetMode="External" /><Relationship Id="rId5" Type="http://schemas.openxmlformats.org/officeDocument/2006/relationships/hyperlink" Target="mailto:Ankush01@gmail.com" TargetMode="External" /><Relationship Id="rId15" Type="http://schemas.openxmlformats.org/officeDocument/2006/relationships/hyperlink" Target="mailto:Rvs@56gmail.com" TargetMode="External" /><Relationship Id="rId10" Type="http://schemas.openxmlformats.org/officeDocument/2006/relationships/hyperlink" Target="mailto:Kanika001@gmail.com" TargetMode="External" /><Relationship Id="rId4" Type="http://schemas.openxmlformats.org/officeDocument/2006/relationships/hyperlink" Target="mailto:Shubh03@gmail.com" TargetMode="External" /><Relationship Id="rId9" Type="http://schemas.openxmlformats.org/officeDocument/2006/relationships/hyperlink" Target="mailto:Harsh775@gmail.com" TargetMode="External" /><Relationship Id="rId14" Type="http://schemas.openxmlformats.org/officeDocument/2006/relationships/hyperlink" Target="mailto:Rathi03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28AE-A4A1-4677-B0E7-2363CEBF9BEE}">
  <dimension ref="C7:D22"/>
  <sheetViews>
    <sheetView topLeftCell="B15" workbookViewId="0">
      <selection activeCell="C27" sqref="C27"/>
    </sheetView>
  </sheetViews>
  <sheetFormatPr defaultRowHeight="15" x14ac:dyDescent="0.2"/>
  <cols>
    <col min="1" max="2" width="13.71875" bestFit="1" customWidth="1"/>
    <col min="3" max="4" width="14.796875" bestFit="1" customWidth="1"/>
    <col min="5" max="6" width="13.71875" bestFit="1" customWidth="1"/>
    <col min="7" max="7" width="14.796875" bestFit="1" customWidth="1"/>
  </cols>
  <sheetData>
    <row r="7" spans="3:4" ht="18.75" x14ac:dyDescent="0.2">
      <c r="C7" s="12" t="s">
        <v>0</v>
      </c>
      <c r="D7" s="12" t="s">
        <v>1</v>
      </c>
    </row>
    <row r="8" spans="3:4" x14ac:dyDescent="0.2">
      <c r="C8" s="8" t="s">
        <v>2</v>
      </c>
      <c r="D8" s="8">
        <v>197</v>
      </c>
    </row>
    <row r="9" spans="3:4" x14ac:dyDescent="0.2">
      <c r="C9" s="14" t="s">
        <v>3</v>
      </c>
      <c r="D9" s="14">
        <v>185</v>
      </c>
    </row>
    <row r="10" spans="3:4" x14ac:dyDescent="0.2">
      <c r="C10" s="1" t="s">
        <v>4</v>
      </c>
      <c r="D10" s="8">
        <v>178</v>
      </c>
    </row>
    <row r="11" spans="3:4" x14ac:dyDescent="0.2">
      <c r="C11" s="14" t="s">
        <v>5</v>
      </c>
      <c r="D11" s="14">
        <v>178</v>
      </c>
    </row>
    <row r="12" spans="3:4" x14ac:dyDescent="0.2">
      <c r="C12" s="13" t="s">
        <v>6</v>
      </c>
      <c r="D12" s="14">
        <v>164</v>
      </c>
    </row>
    <row r="13" spans="3:4" x14ac:dyDescent="0.2">
      <c r="C13" s="1" t="s">
        <v>7</v>
      </c>
      <c r="D13" s="1">
        <v>159</v>
      </c>
    </row>
    <row r="14" spans="3:4" x14ac:dyDescent="0.2">
      <c r="C14" s="1" t="s">
        <v>8</v>
      </c>
      <c r="D14" s="1">
        <v>158</v>
      </c>
    </row>
    <row r="15" spans="3:4" x14ac:dyDescent="0.2">
      <c r="C15" s="13" t="s">
        <v>9</v>
      </c>
      <c r="D15" s="13">
        <v>153</v>
      </c>
    </row>
    <row r="16" spans="3:4" x14ac:dyDescent="0.2">
      <c r="C16" s="13" t="s">
        <v>10</v>
      </c>
      <c r="D16" s="14">
        <v>140</v>
      </c>
    </row>
    <row r="17" spans="3:4" x14ac:dyDescent="0.2">
      <c r="C17" s="1" t="s">
        <v>11</v>
      </c>
      <c r="D17" s="1">
        <v>134</v>
      </c>
    </row>
    <row r="18" spans="3:4" x14ac:dyDescent="0.2">
      <c r="C18" s="13" t="s">
        <v>12</v>
      </c>
      <c r="D18" s="13">
        <v>127</v>
      </c>
    </row>
    <row r="19" spans="3:4" x14ac:dyDescent="0.2">
      <c r="C19" s="13" t="s">
        <v>13</v>
      </c>
      <c r="D19" s="13">
        <v>119</v>
      </c>
    </row>
    <row r="20" spans="3:4" x14ac:dyDescent="0.2">
      <c r="C20" s="1" t="s">
        <v>14</v>
      </c>
      <c r="D20" s="8">
        <v>115</v>
      </c>
    </row>
    <row r="21" spans="3:4" x14ac:dyDescent="0.2">
      <c r="C21" s="8" t="s">
        <v>15</v>
      </c>
      <c r="D21" s="8">
        <v>115</v>
      </c>
    </row>
    <row r="22" spans="3:4" x14ac:dyDescent="0.2">
      <c r="C22" s="13" t="s">
        <v>16</v>
      </c>
      <c r="D22" s="14">
        <v>96</v>
      </c>
    </row>
  </sheetData>
  <sortState xmlns:xlrd2="http://schemas.microsoft.com/office/spreadsheetml/2017/richdata2" ref="C8:D22">
    <sortCondition descending="1" ref="D8:D2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8BAB-EAA2-429D-BD11-9CD948A3BC74}">
  <dimension ref="B4:O28"/>
  <sheetViews>
    <sheetView tabSelected="1" workbookViewId="0">
      <selection activeCell="E26" sqref="E26"/>
    </sheetView>
  </sheetViews>
  <sheetFormatPr defaultRowHeight="15" x14ac:dyDescent="0.2"/>
  <cols>
    <col min="2" max="2" width="8.203125" bestFit="1" customWidth="1"/>
    <col min="3" max="3" width="13.71875" bestFit="1" customWidth="1"/>
    <col min="4" max="4" width="13.44921875" bestFit="1" customWidth="1"/>
    <col min="5" max="5" width="15.6015625" bestFit="1" customWidth="1"/>
    <col min="6" max="6" width="11.97265625" bestFit="1" customWidth="1"/>
    <col min="7" max="9" width="11.97265625" customWidth="1"/>
    <col min="10" max="10" width="16.140625" bestFit="1" customWidth="1"/>
    <col min="11" max="11" width="17.08203125" bestFit="1" customWidth="1"/>
    <col min="12" max="12" width="17.08203125" customWidth="1"/>
    <col min="13" max="13" width="12.10546875" bestFit="1" customWidth="1"/>
    <col min="14" max="15" width="30.265625" bestFit="1" customWidth="1"/>
  </cols>
  <sheetData>
    <row r="4" spans="2:15" ht="15" customHeight="1" x14ac:dyDescent="0.2">
      <c r="B4" s="15" t="s">
        <v>17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2:15" x14ac:dyDescent="0.2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7" spans="2:15" s="4" customFormat="1" ht="18.75" x14ac:dyDescent="0.25">
      <c r="B7" s="5" t="s">
        <v>18</v>
      </c>
      <c r="C7" s="6" t="s">
        <v>0</v>
      </c>
      <c r="D7" s="6" t="s">
        <v>19</v>
      </c>
      <c r="E7" s="6" t="s">
        <v>20</v>
      </c>
      <c r="F7" s="6" t="s">
        <v>21</v>
      </c>
      <c r="G7" s="6" t="s">
        <v>22</v>
      </c>
      <c r="H7" s="6" t="s">
        <v>23</v>
      </c>
      <c r="I7" s="6" t="s">
        <v>24</v>
      </c>
      <c r="J7" s="6" t="s">
        <v>25</v>
      </c>
      <c r="K7" s="6" t="s">
        <v>1</v>
      </c>
      <c r="L7" s="6" t="s">
        <v>26</v>
      </c>
      <c r="M7" s="6" t="s">
        <v>27</v>
      </c>
      <c r="N7" s="6" t="s">
        <v>28</v>
      </c>
      <c r="O7" s="7" t="s">
        <v>29</v>
      </c>
    </row>
    <row r="8" spans="2:15" x14ac:dyDescent="0.2">
      <c r="B8" s="2">
        <v>1</v>
      </c>
      <c r="C8" s="1" t="s">
        <v>9</v>
      </c>
      <c r="D8" s="1" t="s">
        <v>30</v>
      </c>
      <c r="E8" s="1" t="s">
        <v>31</v>
      </c>
      <c r="F8" s="1" t="s">
        <v>32</v>
      </c>
      <c r="G8" s="1">
        <v>18</v>
      </c>
      <c r="H8" s="1" t="s">
        <v>33</v>
      </c>
      <c r="I8" s="1">
        <v>80</v>
      </c>
      <c r="J8" s="1">
        <v>73</v>
      </c>
      <c r="K8" s="1">
        <f>SUM(Table2[[#This Row],[Unit Test-1]],Table2[[#This Row],[Unit Test-2]])</f>
        <v>153</v>
      </c>
      <c r="L8" s="1" t="s">
        <v>34</v>
      </c>
      <c r="M8" s="1">
        <v>9837562411</v>
      </c>
      <c r="N8" s="1" t="s">
        <v>35</v>
      </c>
      <c r="O8" s="3" t="s">
        <v>36</v>
      </c>
    </row>
    <row r="9" spans="2:15" x14ac:dyDescent="0.2">
      <c r="B9" s="2">
        <v>2</v>
      </c>
      <c r="C9" s="1" t="s">
        <v>8</v>
      </c>
      <c r="D9" s="1" t="s">
        <v>37</v>
      </c>
      <c r="E9" s="1" t="str">
        <f>CONCATENATE(C9,D9)</f>
        <v>SanyaUvais</v>
      </c>
      <c r="F9" s="1" t="s">
        <v>38</v>
      </c>
      <c r="G9" s="1">
        <v>19</v>
      </c>
      <c r="H9" s="1" t="s">
        <v>39</v>
      </c>
      <c r="I9" s="1">
        <v>82</v>
      </c>
      <c r="J9" s="1">
        <v>76</v>
      </c>
      <c r="K9" s="1">
        <f>SUM(Table2[[#This Row],[Unit Test-1]],Table2[[#This Row],[Unit Test-2]])</f>
        <v>158</v>
      </c>
      <c r="L9" s="1" t="s">
        <v>34</v>
      </c>
      <c r="M9" s="1">
        <v>741798823</v>
      </c>
      <c r="N9" s="1" t="s">
        <v>40</v>
      </c>
      <c r="O9" s="3" t="s">
        <v>41</v>
      </c>
    </row>
    <row r="10" spans="2:15" x14ac:dyDescent="0.2">
      <c r="B10" s="2">
        <v>3</v>
      </c>
      <c r="C10" s="1" t="s">
        <v>13</v>
      </c>
      <c r="D10" s="1" t="s">
        <v>42</v>
      </c>
      <c r="E10" s="1" t="s">
        <v>43</v>
      </c>
      <c r="F10" s="1" t="s">
        <v>32</v>
      </c>
      <c r="G10" s="1">
        <v>17</v>
      </c>
      <c r="H10" s="1" t="s">
        <v>33</v>
      </c>
      <c r="I10" s="1">
        <v>75</v>
      </c>
      <c r="J10" s="1">
        <v>44</v>
      </c>
      <c r="K10" s="1">
        <f>SUM(Table2[[#This Row],[Unit Test-1]],Table2[[#This Row],[Unit Test-2]])</f>
        <v>119</v>
      </c>
      <c r="L10" s="1" t="s">
        <v>44</v>
      </c>
      <c r="M10" s="1">
        <v>8445013603</v>
      </c>
      <c r="N10" s="1" t="s">
        <v>45</v>
      </c>
      <c r="O10" s="3" t="s">
        <v>46</v>
      </c>
    </row>
    <row r="11" spans="2:15" x14ac:dyDescent="0.2">
      <c r="B11" s="2">
        <v>4</v>
      </c>
      <c r="C11" s="1" t="s">
        <v>7</v>
      </c>
      <c r="D11" s="1" t="s">
        <v>47</v>
      </c>
      <c r="E11" s="1" t="s">
        <v>48</v>
      </c>
      <c r="F11" s="1" t="s">
        <v>32</v>
      </c>
      <c r="G11" s="1">
        <v>18</v>
      </c>
      <c r="H11" s="1" t="s">
        <v>49</v>
      </c>
      <c r="I11" s="1">
        <v>77</v>
      </c>
      <c r="J11" s="1">
        <v>82</v>
      </c>
      <c r="K11" s="1">
        <f>SUM(Table2[[#This Row],[Unit Test-1]],Table2[[#This Row],[Unit Test-2]])</f>
        <v>159</v>
      </c>
      <c r="L11" s="1" t="s">
        <v>34</v>
      </c>
      <c r="M11" s="1">
        <v>6398083186</v>
      </c>
      <c r="N11" s="1" t="s">
        <v>50</v>
      </c>
      <c r="O11" s="3" t="s">
        <v>51</v>
      </c>
    </row>
    <row r="12" spans="2:15" x14ac:dyDescent="0.2">
      <c r="B12" s="2">
        <v>5</v>
      </c>
      <c r="C12" s="1" t="s">
        <v>12</v>
      </c>
      <c r="D12" s="1" t="s">
        <v>52</v>
      </c>
      <c r="E12" s="1" t="str">
        <f>CONCATENATE(C12,D12)</f>
        <v>AnkitaVishnoi</v>
      </c>
      <c r="F12" s="1" t="s">
        <v>38</v>
      </c>
      <c r="G12" s="1">
        <v>19</v>
      </c>
      <c r="H12" s="1" t="s">
        <v>39</v>
      </c>
      <c r="I12" s="1">
        <v>73</v>
      </c>
      <c r="J12" s="1">
        <v>54</v>
      </c>
      <c r="K12" s="1">
        <f>SUM(Table2[[#This Row],[Unit Test-1]],Table2[[#This Row],[Unit Test-2]])</f>
        <v>127</v>
      </c>
      <c r="L12" s="1" t="s">
        <v>44</v>
      </c>
      <c r="M12" s="1">
        <v>777332104</v>
      </c>
      <c r="N12" s="1" t="s">
        <v>53</v>
      </c>
      <c r="O12" s="3" t="s">
        <v>54</v>
      </c>
    </row>
    <row r="13" spans="2:15" x14ac:dyDescent="0.2">
      <c r="B13" s="2">
        <v>6</v>
      </c>
      <c r="C13" s="1" t="s">
        <v>11</v>
      </c>
      <c r="D13" s="1" t="s">
        <v>55</v>
      </c>
      <c r="E13" s="1" t="str">
        <f>CONCATENATE(C13,D13)</f>
        <v>Devita Kakkar</v>
      </c>
      <c r="F13" s="1" t="s">
        <v>38</v>
      </c>
      <c r="G13" s="1">
        <v>18</v>
      </c>
      <c r="H13" s="1" t="s">
        <v>39</v>
      </c>
      <c r="I13" s="1">
        <v>68</v>
      </c>
      <c r="J13" s="1">
        <v>66</v>
      </c>
      <c r="K13" s="1">
        <f>SUM(Table2[[#This Row],[Unit Test-1]],Table2[[#This Row],[Unit Test-2]])</f>
        <v>134</v>
      </c>
      <c r="L13" s="1" t="s">
        <v>34</v>
      </c>
      <c r="M13" s="1">
        <v>6397762164</v>
      </c>
      <c r="N13" s="1" t="s">
        <v>56</v>
      </c>
      <c r="O13" s="3" t="s">
        <v>57</v>
      </c>
    </row>
    <row r="14" spans="2:15" x14ac:dyDescent="0.2">
      <c r="B14" s="2">
        <v>7</v>
      </c>
      <c r="C14" s="1" t="s">
        <v>6</v>
      </c>
      <c r="D14" s="1" t="s">
        <v>58</v>
      </c>
      <c r="E14" s="8" t="s">
        <v>59</v>
      </c>
      <c r="F14" s="8" t="s">
        <v>32</v>
      </c>
      <c r="G14" s="8">
        <v>17</v>
      </c>
      <c r="H14" s="8" t="s">
        <v>60</v>
      </c>
      <c r="I14" s="8">
        <v>88</v>
      </c>
      <c r="J14" s="8">
        <v>76</v>
      </c>
      <c r="K14" s="8">
        <f>SUM(Table2[[#This Row],[Unit Test-1]],Table2[[#This Row],[Unit Test-2]])</f>
        <v>164</v>
      </c>
      <c r="L14" s="1" t="s">
        <v>34</v>
      </c>
      <c r="M14" s="8">
        <v>9456832789</v>
      </c>
      <c r="N14" s="8" t="s">
        <v>61</v>
      </c>
      <c r="O14" s="9" t="s">
        <v>62</v>
      </c>
    </row>
    <row r="15" spans="2:15" x14ac:dyDescent="0.2">
      <c r="B15" s="2">
        <v>8</v>
      </c>
      <c r="C15" s="1" t="s">
        <v>4</v>
      </c>
      <c r="D15" s="1" t="s">
        <v>63</v>
      </c>
      <c r="E15" s="8" t="s">
        <v>64</v>
      </c>
      <c r="F15" s="8" t="s">
        <v>32</v>
      </c>
      <c r="G15" s="8">
        <v>18</v>
      </c>
      <c r="H15" s="8" t="s">
        <v>49</v>
      </c>
      <c r="I15" s="8">
        <v>90</v>
      </c>
      <c r="J15" s="8">
        <v>88</v>
      </c>
      <c r="K15" s="8">
        <f>SUM(Table2[[#This Row],[Unit Test-1]],Table2[[#This Row],[Unit Test-2]])</f>
        <v>178</v>
      </c>
      <c r="L15" s="1" t="s">
        <v>65</v>
      </c>
      <c r="M15" s="8">
        <v>7310998618</v>
      </c>
      <c r="N15" s="8" t="s">
        <v>66</v>
      </c>
      <c r="O15" s="9" t="s">
        <v>67</v>
      </c>
    </row>
    <row r="16" spans="2:15" x14ac:dyDescent="0.2">
      <c r="B16" s="2">
        <v>9</v>
      </c>
      <c r="C16" s="1" t="s">
        <v>16</v>
      </c>
      <c r="D16" s="1" t="s">
        <v>68</v>
      </c>
      <c r="E16" s="8" t="s">
        <v>69</v>
      </c>
      <c r="F16" s="8" t="s">
        <v>32</v>
      </c>
      <c r="G16" s="8">
        <v>19</v>
      </c>
      <c r="H16" s="8" t="s">
        <v>33</v>
      </c>
      <c r="I16" s="8">
        <v>33</v>
      </c>
      <c r="J16" s="8">
        <v>63</v>
      </c>
      <c r="K16" s="8">
        <f>SUM(Table2[[#This Row],[Unit Test-1]],Table2[[#This Row],[Unit Test-2]])</f>
        <v>96</v>
      </c>
      <c r="L16" s="1" t="s">
        <v>44</v>
      </c>
      <c r="M16" s="8">
        <v>7417488032</v>
      </c>
      <c r="N16" s="8" t="s">
        <v>70</v>
      </c>
      <c r="O16" s="9" t="s">
        <v>71</v>
      </c>
    </row>
    <row r="17" spans="2:15" x14ac:dyDescent="0.2">
      <c r="B17" s="2">
        <v>10</v>
      </c>
      <c r="C17" s="1" t="s">
        <v>14</v>
      </c>
      <c r="D17" s="1" t="s">
        <v>72</v>
      </c>
      <c r="E17" s="8" t="s">
        <v>73</v>
      </c>
      <c r="F17" s="8" t="s">
        <v>32</v>
      </c>
      <c r="G17" s="8">
        <v>18</v>
      </c>
      <c r="H17" s="8" t="s">
        <v>60</v>
      </c>
      <c r="I17" s="8">
        <v>56</v>
      </c>
      <c r="J17" s="8">
        <v>59</v>
      </c>
      <c r="K17" s="8">
        <f>SUM(Table2[[#This Row],[Unit Test-1]],Table2[[#This Row],[Unit Test-2]])</f>
        <v>115</v>
      </c>
      <c r="L17" s="1" t="s">
        <v>44</v>
      </c>
      <c r="M17" s="8">
        <v>8279631746</v>
      </c>
      <c r="N17" s="8" t="s">
        <v>74</v>
      </c>
      <c r="O17" s="9" t="s">
        <v>75</v>
      </c>
    </row>
    <row r="18" spans="2:15" x14ac:dyDescent="0.2">
      <c r="B18" s="2">
        <v>11</v>
      </c>
      <c r="C18" s="1" t="s">
        <v>10</v>
      </c>
      <c r="D18" s="1" t="s">
        <v>76</v>
      </c>
      <c r="E18" s="8" t="s">
        <v>77</v>
      </c>
      <c r="F18" s="8" t="s">
        <v>32</v>
      </c>
      <c r="G18" s="8">
        <v>17</v>
      </c>
      <c r="H18" s="8" t="s">
        <v>33</v>
      </c>
      <c r="I18" s="8">
        <v>64</v>
      </c>
      <c r="J18" s="8">
        <v>76</v>
      </c>
      <c r="K18" s="8">
        <f>SUM(Table2[[#This Row],[Unit Test-1]],Table2[[#This Row],[Unit Test-2]])</f>
        <v>140</v>
      </c>
      <c r="L18" s="1" t="s">
        <v>34</v>
      </c>
      <c r="M18" s="8">
        <v>8630909461</v>
      </c>
      <c r="N18" s="8" t="s">
        <v>78</v>
      </c>
      <c r="O18" s="9" t="s">
        <v>79</v>
      </c>
    </row>
    <row r="19" spans="2:15" x14ac:dyDescent="0.2">
      <c r="B19" s="2">
        <v>12</v>
      </c>
      <c r="C19" s="8" t="s">
        <v>2</v>
      </c>
      <c r="D19" s="8" t="s">
        <v>80</v>
      </c>
      <c r="E19" s="8" t="str">
        <f>CONCATENATE(C19,D19)</f>
        <v>KanikaSharma</v>
      </c>
      <c r="F19" s="8" t="s">
        <v>38</v>
      </c>
      <c r="G19" s="8">
        <v>17</v>
      </c>
      <c r="H19" s="8" t="s">
        <v>49</v>
      </c>
      <c r="I19" s="8">
        <v>98</v>
      </c>
      <c r="J19" s="8">
        <v>99</v>
      </c>
      <c r="K19" s="8">
        <f>SUM(Table2[[#This Row],[Unit Test-1]],Table2[[#This Row],[Unit Test-2]])</f>
        <v>197</v>
      </c>
      <c r="L19" s="1" t="s">
        <v>65</v>
      </c>
      <c r="M19" s="8">
        <v>6397002878</v>
      </c>
      <c r="N19" s="8" t="s">
        <v>81</v>
      </c>
      <c r="O19" s="9" t="s">
        <v>82</v>
      </c>
    </row>
    <row r="20" spans="2:15" x14ac:dyDescent="0.2">
      <c r="B20" s="2">
        <v>13</v>
      </c>
      <c r="C20" s="8" t="s">
        <v>3</v>
      </c>
      <c r="D20" s="8" t="s">
        <v>83</v>
      </c>
      <c r="E20" s="8" t="str">
        <f>CONCATENATE(C20,D20)</f>
        <v>PeeyushThakur</v>
      </c>
      <c r="F20" s="8" t="s">
        <v>32</v>
      </c>
      <c r="G20" s="8">
        <v>18</v>
      </c>
      <c r="H20" s="8" t="s">
        <v>49</v>
      </c>
      <c r="I20" s="8">
        <v>93</v>
      </c>
      <c r="J20" s="8">
        <v>92</v>
      </c>
      <c r="K20" s="8">
        <f>SUM(Table2[[#This Row],[Unit Test-1]],Table2[[#This Row],[Unit Test-2]])</f>
        <v>185</v>
      </c>
      <c r="L20" s="1" t="s">
        <v>65</v>
      </c>
      <c r="M20" s="8">
        <v>7564823521</v>
      </c>
      <c r="N20" s="8" t="s">
        <v>84</v>
      </c>
      <c r="O20" s="9" t="s">
        <v>85</v>
      </c>
    </row>
    <row r="21" spans="2:15" x14ac:dyDescent="0.2">
      <c r="B21" s="2">
        <v>14</v>
      </c>
      <c r="C21" s="8" t="s">
        <v>15</v>
      </c>
      <c r="D21" s="8" t="s">
        <v>86</v>
      </c>
      <c r="E21" s="8" t="str">
        <f>CONCATENATE(C21,D21)</f>
        <v>Shubham Rathi</v>
      </c>
      <c r="F21" s="8" t="s">
        <v>32</v>
      </c>
      <c r="G21" s="8">
        <v>19</v>
      </c>
      <c r="H21" s="8" t="s">
        <v>33</v>
      </c>
      <c r="I21" s="8">
        <v>49</v>
      </c>
      <c r="J21" s="8">
        <v>66</v>
      </c>
      <c r="K21" s="8">
        <f>SUM(Table2[[#This Row],[Unit Test-1]],Table2[[#This Row],[Unit Test-2]])</f>
        <v>115</v>
      </c>
      <c r="L21" s="1" t="s">
        <v>34</v>
      </c>
      <c r="M21" s="8">
        <v>8868907654</v>
      </c>
      <c r="N21" s="8" t="s">
        <v>87</v>
      </c>
      <c r="O21" s="9" t="s">
        <v>88</v>
      </c>
    </row>
    <row r="22" spans="2:15" x14ac:dyDescent="0.2">
      <c r="B22" s="2">
        <v>15</v>
      </c>
      <c r="C22" s="10" t="s">
        <v>5</v>
      </c>
      <c r="D22" s="10" t="s">
        <v>63</v>
      </c>
      <c r="E22" s="10" t="str">
        <f>CONCATENATE(C22,D22)</f>
        <v>RamveerSingh</v>
      </c>
      <c r="F22" s="10" t="s">
        <v>32</v>
      </c>
      <c r="G22" s="10">
        <v>19</v>
      </c>
      <c r="H22" s="10" t="s">
        <v>39</v>
      </c>
      <c r="I22" s="10">
        <v>88</v>
      </c>
      <c r="J22" s="10">
        <v>90</v>
      </c>
      <c r="K22" s="10">
        <f>SUM(Table2[[#This Row],[Unit Test-1]],Table2[[#This Row],[Unit Test-2]])</f>
        <v>178</v>
      </c>
      <c r="L22" s="1" t="s">
        <v>65</v>
      </c>
      <c r="M22" s="10">
        <v>945827839</v>
      </c>
      <c r="N22" s="10" t="s">
        <v>89</v>
      </c>
      <c r="O22" s="11" t="s">
        <v>90</v>
      </c>
    </row>
    <row r="25" spans="2:15" x14ac:dyDescent="0.2">
      <c r="D25" t="s">
        <v>26</v>
      </c>
    </row>
    <row r="26" spans="2:15" x14ac:dyDescent="0.2">
      <c r="D26" t="s">
        <v>65</v>
      </c>
    </row>
    <row r="27" spans="2:15" x14ac:dyDescent="0.2">
      <c r="D27" t="s">
        <v>34</v>
      </c>
    </row>
    <row r="28" spans="2:15" x14ac:dyDescent="0.2">
      <c r="D28" t="s">
        <v>44</v>
      </c>
    </row>
  </sheetData>
  <mergeCells count="1">
    <mergeCell ref="B4:O5"/>
  </mergeCells>
  <dataValidations count="1">
    <dataValidation type="list" allowBlank="1" showInputMessage="1" showErrorMessage="1" sqref="L8:L22" xr:uid="{329F9FA2-5BE5-41FC-8964-B10A24AD393B}">
      <formula1>$D$26:$D$28</formula1>
    </dataValidation>
  </dataValidations>
  <hyperlinks>
    <hyperlink ref="O8" r:id="rId1" xr:uid="{CE755A5E-3193-4A46-B761-4CA20967A362}"/>
    <hyperlink ref="O11" r:id="rId2" xr:uid="{30B433A5-12B7-48BB-B465-7C0BBAFDB659}"/>
    <hyperlink ref="O13" r:id="rId3" xr:uid="{2864CBF4-BDE2-4359-92CE-03CA601487EE}"/>
    <hyperlink ref="O14" r:id="rId4" xr:uid="{1BAB98EA-CF02-498A-BC4C-92D8E84642B2}"/>
    <hyperlink ref="O15" r:id="rId5" xr:uid="{9CE156BE-3729-4070-A6D2-1E0ECC7C4A56}"/>
    <hyperlink ref="O16" r:id="rId6" xr:uid="{B7975EC2-4BD3-40AC-AE83-C4AF365E0DF5}"/>
    <hyperlink ref="O17" r:id="rId7" xr:uid="{3B245B64-C311-4294-9771-F3213ED802AA}"/>
    <hyperlink ref="O18" r:id="rId8" xr:uid="{4FBC2D47-043F-4D7C-8B60-5618F8C1F82D}"/>
    <hyperlink ref="O10" r:id="rId9" xr:uid="{578AE524-9DB1-4594-8D5B-9D35F84A0A57}"/>
    <hyperlink ref="O19" r:id="rId10" xr:uid="{C26A4574-3FDF-4B72-9788-2AC3CE1C1E74}"/>
    <hyperlink ref="O9" r:id="rId11" xr:uid="{D9640299-21C2-42B5-A030-25D5642D706D}"/>
    <hyperlink ref="O12" r:id="rId12" xr:uid="{4ACA6133-C7CC-4095-9FDB-5A18A94CE724}"/>
    <hyperlink ref="O20" r:id="rId13" xr:uid="{2EDD2D23-0E92-4F70-9F3E-979F8C431CCC}"/>
    <hyperlink ref="O21" r:id="rId14" xr:uid="{9EE55368-B39C-46B7-92ED-7B293A1F6B57}"/>
    <hyperlink ref="O22" r:id="rId15" xr:uid="{839B3F8E-9E16-4006-9FF8-9467B96D54C1}"/>
  </hyperlinks>
  <pageMargins left="0.7" right="0.7" top="0.75" bottom="0.75" header="0.3" footer="0.3"/>
  <drawing r:id="rId16"/>
  <tableParts count="1">
    <tablePart r:id="rId17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18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KANIKA SHARMA 24SBBS1170097</cp:lastModifiedBy>
  <cp:revision/>
  <dcterms:created xsi:type="dcterms:W3CDTF">2026-01-10T10:13:24Z</dcterms:created>
  <dcterms:modified xsi:type="dcterms:W3CDTF">2026-01-14T10:49:58Z</dcterms:modified>
  <cp:category/>
  <cp:contentStatus/>
</cp:coreProperties>
</file>